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yongching/Python/project-bob/tests/"/>
    </mc:Choice>
  </mc:AlternateContent>
  <xr:revisionPtr revIDLastSave="0" documentId="11_B590B42095CF05F73E242967C1FEAE8ECD0E49D6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Assumptions" sheetId="1" r:id="rId1"/>
    <sheet name="Monthly" sheetId="2" r:id="rId2"/>
    <sheet name="Summary" sheetId="3" r:id="rId3"/>
    <sheet name="Sales data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D5" i="2" s="1"/>
  <c r="E5" i="2" l="1"/>
  <c r="D7" i="2"/>
  <c r="D6" i="2"/>
  <c r="C6" i="2"/>
  <c r="C7" i="2"/>
  <c r="C8" i="2" l="1"/>
  <c r="D8" i="2"/>
  <c r="E7" i="2"/>
  <c r="F5" i="2"/>
  <c r="E6" i="2"/>
  <c r="E8" i="2" s="1"/>
  <c r="G5" i="2" l="1"/>
  <c r="F7" i="2"/>
  <c r="F6" i="2"/>
  <c r="F8" i="2" s="1"/>
  <c r="G6" i="2" l="1"/>
  <c r="G7" i="2"/>
  <c r="H5" i="2"/>
  <c r="H6" i="2" l="1"/>
  <c r="I5" i="2"/>
  <c r="H7" i="2"/>
  <c r="G8" i="2"/>
  <c r="I6" i="2" l="1"/>
  <c r="J5" i="2"/>
  <c r="I7" i="2"/>
  <c r="H8" i="2"/>
  <c r="K5" i="2" l="1"/>
  <c r="J6" i="2"/>
  <c r="J7" i="2"/>
  <c r="I8" i="2"/>
  <c r="J8" i="2" l="1"/>
  <c r="L5" i="2"/>
  <c r="K7" i="2"/>
  <c r="K6" i="2"/>
  <c r="K8" i="2" l="1"/>
  <c r="M5" i="2"/>
  <c r="L7" i="2"/>
  <c r="L6" i="2"/>
  <c r="L8" i="2" s="1"/>
  <c r="M7" i="2" l="1"/>
  <c r="N5" i="2"/>
  <c r="M6" i="2"/>
  <c r="M8" i="2" s="1"/>
  <c r="N7" i="2" l="1"/>
  <c r="N6" i="2"/>
  <c r="N8" i="2" l="1"/>
  <c r="B3" i="3" s="1"/>
  <c r="B2" i="3"/>
  <c r="B4" i="3" l="1"/>
</calcChain>
</file>

<file path=xl/sharedStrings.xml><?xml version="1.0" encoding="utf-8"?>
<sst xmlns="http://schemas.openxmlformats.org/spreadsheetml/2006/main" count="80" uniqueCount="27">
  <si>
    <t>Assumption</t>
  </si>
  <si>
    <t>Value</t>
  </si>
  <si>
    <t>Unit</t>
  </si>
  <si>
    <t>Monthly volume growth</t>
  </si>
  <si>
    <t>%</t>
  </si>
  <si>
    <t>Unit price</t>
  </si>
  <si>
    <t>$</t>
  </si>
  <si>
    <t>Unit cost</t>
  </si>
  <si>
    <t>Starting volume</t>
  </si>
  <si>
    <t>units</t>
  </si>
  <si>
    <t>Monthly forecast</t>
  </si>
  <si>
    <t>Month</t>
  </si>
  <si>
    <t>unit</t>
  </si>
  <si>
    <t>Volume</t>
  </si>
  <si>
    <t>Revenue</t>
  </si>
  <si>
    <t>Cost</t>
  </si>
  <si>
    <t>Gross profit</t>
  </si>
  <si>
    <t>Metric</t>
  </si>
  <si>
    <t>Total revenue</t>
  </si>
  <si>
    <t>Total gross profit</t>
  </si>
  <si>
    <t>Gross margin</t>
  </si>
  <si>
    <t>Date</t>
  </si>
  <si>
    <t>Region</t>
  </si>
  <si>
    <t>Amount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</si>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</sst>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0.03</v>
      </c>
      <c r="C2" t="s">
        <v>4</v>
      </c>
    </row>
    <row r="3" spans="1:3" x14ac:dyDescent="0.2">
      <c r="A3" t="s">
        <v>5</v>
      </c>
      <c r="B3">
        <v>12.5</v>
      </c>
      <c r="C3" t="s">
        <v>6</v>
      </c>
    </row>
    <row r="4" spans="1:3" x14ac:dyDescent="0.2">
      <c r="A4" t="s">
        <v>7</v>
      </c>
      <c r="B4">
        <v>7</v>
      </c>
      <c r="C4" t="s">
        <v>6</v>
      </c>
    </row>
    <row r="5" spans="1:3" x14ac:dyDescent="0.2">
      <c r="A5" t="s">
        <v>8</v>
      </c>
      <c r="B5">
        <v>1000</v>
      </c>
      <c r="C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10</v>
      </c>
    </row>
    <row r="3" spans="1:14" x14ac:dyDescent="0.2">
      <c r="A3" t="s">
        <v>11</v>
      </c>
      <c r="B3" t="s">
        <v>12</v>
      </c>
      <c r="C3" s="1">
        <v>45658</v>
      </c>
      <c r="D3" s="1">
        <v>45689</v>
      </c>
      <c r="E3" s="1">
        <v>45717</v>
      </c>
      <c r="F3" s="1">
        <v>45748</v>
      </c>
      <c r="G3" s="1">
        <v>45778</v>
      </c>
      <c r="H3" s="1">
        <v>45809</v>
      </c>
      <c r="I3" s="1">
        <v>45839</v>
      </c>
      <c r="J3" s="1">
        <v>45870</v>
      </c>
      <c r="K3" s="1">
        <v>45901</v>
      </c>
      <c r="L3" s="1">
        <v>45931</v>
      </c>
      <c r="M3" s="1">
        <v>45962</v>
      </c>
      <c r="N3" s="1">
        <v>45992</v>
      </c>
    </row>
    <row r="5" spans="1:14" x14ac:dyDescent="0.2">
      <c r="A5" t="s">
        <v>13</v>
      </c>
      <c r="B5" t="s">
        <v>9</v>
      </c>
      <c r="C5">
        <f>Assumptions!$B$5</f>
        <v>1000</v>
      </c>
      <c r="D5">
        <f>C5*(1+Assumptions!$B$2)</f>
        <v>1030</v>
      </c>
      <c r="E5">
        <f>D5*(1+Assumptions!$B$2)</f>
        <v>1060.9000000000001</v>
      </c>
      <c r="F5">
        <f>E5*(1+Assumptions!$B$2)</f>
        <v>1092.7270000000001</v>
      </c>
      <c r="G5">
        <f>F5*(1+Assumptions!$B$2)</f>
        <v>1125.50881</v>
      </c>
      <c r="H5">
        <f>G5*(1+Assumptions!$B$2)</f>
        <v>1159.2740743000002</v>
      </c>
      <c r="I5">
        <f>H5*(1+Assumptions!$B$2)</f>
        <v>1194.0522965290002</v>
      </c>
      <c r="J5">
        <f>I5*(1+Assumptions!$B$2)</f>
        <v>1229.8738654248702</v>
      </c>
      <c r="K5">
        <f>J5*(1+Assumptions!$B$2)</f>
        <v>1266.7700813876163</v>
      </c>
      <c r="L5">
        <f>K5*(1+Assumptions!$B$2)</f>
        <v>1304.7731838292448</v>
      </c>
      <c r="M5">
        <f>L5*(1+Assumptions!$B$2)</f>
        <v>1343.9163793441221</v>
      </c>
      <c r="N5">
        <f>M5*(1+Assumptions!$B$2)</f>
        <v>1384.2338707244458</v>
      </c>
    </row>
    <row r="6" spans="1:14" x14ac:dyDescent="0.2">
      <c r="A6" t="s">
        <v>14</v>
      </c>
      <c r="B6" t="s">
        <v>6</v>
      </c>
      <c r="C6">
        <f>C5*Assumptions!$B$3</f>
        <v>12500</v>
      </c>
      <c r="D6">
        <f>D5*Assumptions!$B$3</f>
        <v>12875</v>
      </c>
      <c r="E6">
        <f>E5*Assumptions!$B$3</f>
        <v>13261.250000000002</v>
      </c>
      <c r="F6">
        <f>F5*Assumptions!$B$3</f>
        <v>13659.087500000001</v>
      </c>
      <c r="G6">
        <f>G5*Assumptions!$B$3</f>
        <v>14068.860125000001</v>
      </c>
      <c r="H6">
        <f>H5*Assumptions!$B$3</f>
        <v>14490.925928750003</v>
      </c>
      <c r="I6">
        <f>I5*Assumptions!$B$3</f>
        <v>14925.653706612502</v>
      </c>
      <c r="J6">
        <f>J5*Assumptions!$B$3</f>
        <v>15373.423317810879</v>
      </c>
      <c r="K6">
        <f>K5*Assumptions!$B$3</f>
        <v>15834.626017345203</v>
      </c>
      <c r="L6">
        <f>L5*Assumptions!$B$3</f>
        <v>16309.66479786556</v>
      </c>
      <c r="M6">
        <f>M5*Assumptions!$B$3</f>
        <v>16798.954741801528</v>
      </c>
      <c r="N6">
        <f>N5*Assumptions!$B$3</f>
        <v>17302.923384055572</v>
      </c>
    </row>
    <row r="7" spans="1:14" x14ac:dyDescent="0.2">
      <c r="A7" t="s">
        <v>15</v>
      </c>
      <c r="B7" t="s">
        <v>6</v>
      </c>
      <c r="C7">
        <f>-C5*Assumptions!$B$4</f>
        <v>-7000</v>
      </c>
      <c r="D7">
        <f>-D5*Assumptions!$B$4</f>
        <v>-7210</v>
      </c>
      <c r="E7">
        <f>-E5*Assumptions!$B$4</f>
        <v>-7426.3000000000011</v>
      </c>
      <c r="F7">
        <f>-F5*Assumptions!$B$4</f>
        <v>-7649.0890000000009</v>
      </c>
      <c r="G7">
        <f>-G5*Assumptions!$B$4</f>
        <v>-7878.56167</v>
      </c>
      <c r="H7">
        <f>-H5*Assumptions!$B$4</f>
        <v>-8114.9185201000009</v>
      </c>
      <c r="I7">
        <f>-I5*Assumptions!$B$4</f>
        <v>-8358.3660757030011</v>
      </c>
      <c r="J7">
        <f>-J5*Assumptions!$B$4</f>
        <v>-8609.1170579740919</v>
      </c>
      <c r="K7">
        <f>-K5*Assumptions!$B$4</f>
        <v>-8867.3905697133141</v>
      </c>
      <c r="L7">
        <f>-L5*Assumptions!$B$4</f>
        <v>-9133.4122868047125</v>
      </c>
      <c r="M7">
        <f>-M5*Assumptions!$B$4</f>
        <v>-9407.4146554088547</v>
      </c>
      <c r="N7">
        <f>-N5*Assumptions!$B$4</f>
        <v>-9689.6370950711207</v>
      </c>
    </row>
    <row r="8" spans="1:14" x14ac:dyDescent="0.2">
      <c r="A8" t="s">
        <v>16</v>
      </c>
      <c r="B8" t="s">
        <v>6</v>
      </c>
      <c r="C8">
        <f t="shared" ref="C8:N8" si="0">C6+C7</f>
        <v>5500</v>
      </c>
      <c r="D8">
        <f t="shared" si="0"/>
        <v>5665</v>
      </c>
      <c r="E8">
        <f t="shared" si="0"/>
        <v>5834.9500000000007</v>
      </c>
      <c r="F8">
        <f t="shared" si="0"/>
        <v>6009.9985000000006</v>
      </c>
      <c r="G8">
        <f t="shared" si="0"/>
        <v>6190.298455000001</v>
      </c>
      <c r="H8">
        <f t="shared" si="0"/>
        <v>6376.0074086500017</v>
      </c>
      <c r="I8">
        <f t="shared" si="0"/>
        <v>6567.2876309095009</v>
      </c>
      <c r="J8">
        <f t="shared" si="0"/>
        <v>6764.3062598367869</v>
      </c>
      <c r="K8">
        <f t="shared" si="0"/>
        <v>6967.2354476318887</v>
      </c>
      <c r="L8">
        <f t="shared" si="0"/>
        <v>7176.2525110608476</v>
      </c>
      <c r="M8">
        <f t="shared" si="0"/>
        <v>7391.5400863926734</v>
      </c>
      <c r="N8">
        <f t="shared" si="0"/>
        <v>7613.2862889844509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17</v>
      </c>
      <c r="B1" t="s">
        <v>1</v>
      </c>
    </row>
    <row r="2" spans="1:2" x14ac:dyDescent="0.2">
      <c r="A2" t="s">
        <v>18</v>
      </c>
      <c r="B2">
        <f>SUM(Monthly!C6:N6)</f>
        <v>177400.36951924124</v>
      </c>
    </row>
    <row r="3" spans="1:2" x14ac:dyDescent="0.2">
      <c r="A3" t="s">
        <v>19</v>
      </c>
      <c r="B3">
        <f>SUM(Monthly!C8:N8)</f>
        <v>78056.162588466148</v>
      </c>
    </row>
    <row r="4" spans="1:2" x14ac:dyDescent="0.2">
      <c r="A4" t="s">
        <v>20</v>
      </c>
      <c r="B4">
        <f>B3/B2</f>
        <v>0.44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21</v>
      </c>
      <c r="B1" t="s">
        <v>22</v>
      </c>
      <c r="C1" t="s">
        <v>23</v>
      </c>
    </row>
    <row r="2" spans="1:3" x14ac:dyDescent="0.2">
      <c r="A2" s="1">
        <v>45658</v>
      </c>
      <c r="B2" t="s">
        <v>24</v>
      </c>
      <c r="C2">
        <v>100</v>
      </c>
    </row>
    <row r="3" spans="1:3" x14ac:dyDescent="0.2">
      <c r="A3" s="1">
        <v>45690</v>
      </c>
      <c r="B3" t="s">
        <v>25</v>
      </c>
      <c r="C3">
        <v>107</v>
      </c>
    </row>
    <row r="4" spans="1:3" x14ac:dyDescent="0.2">
      <c r="A4" s="1">
        <v>45719</v>
      </c>
      <c r="B4" t="s">
        <v>26</v>
      </c>
      <c r="C4">
        <v>114</v>
      </c>
    </row>
    <row r="5" spans="1:3" x14ac:dyDescent="0.2">
      <c r="A5" s="1">
        <v>45751</v>
      </c>
      <c r="B5" t="s">
        <v>24</v>
      </c>
      <c r="C5">
        <v>121</v>
      </c>
    </row>
    <row r="6" spans="1:3" x14ac:dyDescent="0.2">
      <c r="A6" s="1">
        <v>45782</v>
      </c>
      <c r="B6" t="s">
        <v>25</v>
      </c>
      <c r="C6">
        <v>128</v>
      </c>
    </row>
    <row r="7" spans="1:3" x14ac:dyDescent="0.2">
      <c r="A7" s="1">
        <v>45814</v>
      </c>
      <c r="B7" t="s">
        <v>26</v>
      </c>
      <c r="C7">
        <v>135</v>
      </c>
    </row>
    <row r="8" spans="1:3" x14ac:dyDescent="0.2">
      <c r="A8" s="1">
        <v>45845</v>
      </c>
      <c r="B8" t="s">
        <v>24</v>
      </c>
      <c r="C8">
        <v>142</v>
      </c>
    </row>
    <row r="9" spans="1:3" x14ac:dyDescent="0.2">
      <c r="A9" s="1">
        <v>45877</v>
      </c>
      <c r="B9" t="s">
        <v>25</v>
      </c>
      <c r="C9">
        <v>149</v>
      </c>
    </row>
    <row r="10" spans="1:3" x14ac:dyDescent="0.2">
      <c r="A10" s="1">
        <v>45909</v>
      </c>
      <c r="B10" t="s">
        <v>26</v>
      </c>
      <c r="C10">
        <v>156</v>
      </c>
    </row>
    <row r="11" spans="1:3" x14ac:dyDescent="0.2">
      <c r="A11" s="1">
        <v>45940</v>
      </c>
      <c r="B11" t="s">
        <v>24</v>
      </c>
      <c r="C11">
        <v>163</v>
      </c>
    </row>
    <row r="12" spans="1:3" x14ac:dyDescent="0.2">
      <c r="A12" s="1">
        <v>45972</v>
      </c>
      <c r="B12" t="s">
        <v>25</v>
      </c>
      <c r="C12">
        <v>170</v>
      </c>
    </row>
    <row r="13" spans="1:3" x14ac:dyDescent="0.2">
      <c r="A13" s="1">
        <v>46003</v>
      </c>
      <c r="B13" t="s">
        <v>26</v>
      </c>
      <c r="C13">
        <v>177</v>
      </c>
    </row>
    <row r="14" spans="1:3" x14ac:dyDescent="0.2">
      <c r="A14" s="1">
        <v>45670</v>
      </c>
      <c r="B14" t="s">
        <v>24</v>
      </c>
      <c r="C14">
        <v>184</v>
      </c>
    </row>
    <row r="15" spans="1:3" x14ac:dyDescent="0.2">
      <c r="A15" s="1">
        <v>45702</v>
      </c>
      <c r="B15" t="s">
        <v>25</v>
      </c>
      <c r="C15">
        <v>191</v>
      </c>
    </row>
    <row r="16" spans="1:3" x14ac:dyDescent="0.2">
      <c r="A16" s="1">
        <v>45731</v>
      </c>
      <c r="B16" t="s">
        <v>26</v>
      </c>
      <c r="C16">
        <v>198</v>
      </c>
    </row>
    <row r="17" spans="1:3" x14ac:dyDescent="0.2">
      <c r="A17" s="1">
        <v>45763</v>
      </c>
      <c r="B17" t="s">
        <v>24</v>
      </c>
      <c r="C17">
        <v>205</v>
      </c>
    </row>
    <row r="18" spans="1:3" x14ac:dyDescent="0.2">
      <c r="A18" s="1">
        <v>45794</v>
      </c>
      <c r="B18" t="s">
        <v>25</v>
      </c>
      <c r="C18">
        <v>212</v>
      </c>
    </row>
    <row r="19" spans="1:3" x14ac:dyDescent="0.2">
      <c r="A19" s="1">
        <v>45826</v>
      </c>
      <c r="B19" t="s">
        <v>26</v>
      </c>
      <c r="C19">
        <v>219</v>
      </c>
    </row>
    <row r="20" spans="1:3" x14ac:dyDescent="0.2">
      <c r="A20" s="1">
        <v>45857</v>
      </c>
      <c r="B20" t="s">
        <v>24</v>
      </c>
      <c r="C20">
        <v>226</v>
      </c>
    </row>
    <row r="21" spans="1:3" x14ac:dyDescent="0.2">
      <c r="A21" s="1">
        <v>45889</v>
      </c>
      <c r="B21" t="s">
        <v>25</v>
      </c>
      <c r="C21">
        <v>233</v>
      </c>
    </row>
    <row r="22" spans="1:3" x14ac:dyDescent="0.2">
      <c r="A22" s="1">
        <v>45921</v>
      </c>
      <c r="B22" t="s">
        <v>26</v>
      </c>
      <c r="C22">
        <v>240</v>
      </c>
    </row>
    <row r="23" spans="1:3" x14ac:dyDescent="0.2">
      <c r="A23" s="1">
        <v>45952</v>
      </c>
      <c r="B23" t="s">
        <v>24</v>
      </c>
      <c r="C23">
        <v>247</v>
      </c>
    </row>
    <row r="24" spans="1:3" x14ac:dyDescent="0.2">
      <c r="A24" s="1">
        <v>45984</v>
      </c>
      <c r="B24" t="s">
        <v>25</v>
      </c>
      <c r="C24">
        <v>254</v>
      </c>
    </row>
    <row r="25" spans="1:3" x14ac:dyDescent="0.2">
      <c r="A25" s="1">
        <v>46015</v>
      </c>
      <c r="B25" t="s">
        <v>26</v>
      </c>
      <c r="C25">
        <v>261</v>
      </c>
    </row>
    <row r="26" spans="1:3" x14ac:dyDescent="0.2">
      <c r="A26" s="1">
        <v>45682</v>
      </c>
      <c r="B26" t="s">
        <v>24</v>
      </c>
      <c r="C26">
        <v>268</v>
      </c>
    </row>
    <row r="27" spans="1:3" x14ac:dyDescent="0.2">
      <c r="A27" s="1">
        <v>45714</v>
      </c>
      <c r="B27" t="s">
        <v>25</v>
      </c>
      <c r="C27">
        <v>275</v>
      </c>
    </row>
    <row r="28" spans="1:3" x14ac:dyDescent="0.2">
      <c r="A28" s="1">
        <v>45743</v>
      </c>
      <c r="B28" t="s">
        <v>26</v>
      </c>
      <c r="C28">
        <v>282</v>
      </c>
    </row>
    <row r="29" spans="1:3" x14ac:dyDescent="0.2">
      <c r="A29" s="1">
        <v>45775</v>
      </c>
      <c r="B29" t="s">
        <v>24</v>
      </c>
      <c r="C29">
        <v>289</v>
      </c>
    </row>
    <row r="30" spans="1:3" x14ac:dyDescent="0.2">
      <c r="A30" s="1">
        <v>45778</v>
      </c>
      <c r="B30" t="s">
        <v>25</v>
      </c>
      <c r="C30">
        <v>296</v>
      </c>
    </row>
    <row r="31" spans="1:3" x14ac:dyDescent="0.2">
      <c r="A31" s="1">
        <v>45810</v>
      </c>
      <c r="B31" t="s">
        <v>26</v>
      </c>
      <c r="C31">
        <v>303</v>
      </c>
    </row>
    <row r="32" spans="1:3" x14ac:dyDescent="0.2">
      <c r="A32" s="1">
        <v>45841</v>
      </c>
      <c r="B32" t="s">
        <v>24</v>
      </c>
      <c r="C32">
        <v>310</v>
      </c>
    </row>
    <row r="33" spans="1:3" x14ac:dyDescent="0.2">
      <c r="A33" s="1">
        <v>45873</v>
      </c>
      <c r="B33" t="s">
        <v>25</v>
      </c>
      <c r="C33">
        <v>317</v>
      </c>
    </row>
    <row r="34" spans="1:3" x14ac:dyDescent="0.2">
      <c r="A34" s="1">
        <v>45905</v>
      </c>
      <c r="B34" t="s">
        <v>26</v>
      </c>
      <c r="C34">
        <v>324</v>
      </c>
    </row>
    <row r="35" spans="1:3" x14ac:dyDescent="0.2">
      <c r="A35" s="1">
        <v>45936</v>
      </c>
      <c r="B35" t="s">
        <v>24</v>
      </c>
      <c r="C35">
        <v>331</v>
      </c>
    </row>
    <row r="36" spans="1:3" x14ac:dyDescent="0.2">
      <c r="A36" s="1">
        <v>45968</v>
      </c>
      <c r="B36" t="s">
        <v>25</v>
      </c>
      <c r="C36">
        <v>338</v>
      </c>
    </row>
    <row r="37" spans="1:3" x14ac:dyDescent="0.2">
      <c r="A37" s="1">
        <v>45999</v>
      </c>
      <c r="B37" t="s">
        <v>26</v>
      </c>
      <c r="C37">
        <v>345</v>
      </c>
    </row>
    <row r="38" spans="1:3" x14ac:dyDescent="0.2">
      <c r="A38" s="1">
        <v>45666</v>
      </c>
      <c r="B38" t="s">
        <v>24</v>
      </c>
      <c r="C38">
        <v>352</v>
      </c>
    </row>
    <row r="39" spans="1:3" x14ac:dyDescent="0.2">
      <c r="A39" s="1">
        <v>45698</v>
      </c>
      <c r="B39" t="s">
        <v>25</v>
      </c>
      <c r="C39">
        <v>359</v>
      </c>
    </row>
    <row r="40" spans="1:3" x14ac:dyDescent="0.2">
      <c r="A40" s="1">
        <v>45727</v>
      </c>
      <c r="B40" t="s">
        <v>26</v>
      </c>
      <c r="C40">
        <v>366</v>
      </c>
    </row>
    <row r="41" spans="1:3" x14ac:dyDescent="0.2">
      <c r="A41" s="1">
        <v>45759</v>
      </c>
      <c r="B41" t="s">
        <v>24</v>
      </c>
      <c r="C41">
        <v>373</v>
      </c>
    </row>
    <row r="42" spans="1:3" x14ac:dyDescent="0.2">
      <c r="A42" s="1">
        <v>45790</v>
      </c>
      <c r="B42" t="s">
        <v>25</v>
      </c>
      <c r="C42">
        <v>380</v>
      </c>
    </row>
    <row r="43" spans="1:3" x14ac:dyDescent="0.2">
      <c r="A43" s="1">
        <v>45822</v>
      </c>
      <c r="B43" t="s">
        <v>26</v>
      </c>
      <c r="C43">
        <v>387</v>
      </c>
    </row>
    <row r="44" spans="1:3" x14ac:dyDescent="0.2">
      <c r="A44" s="1">
        <v>45853</v>
      </c>
      <c r="B44" t="s">
        <v>24</v>
      </c>
      <c r="C44">
        <v>394</v>
      </c>
    </row>
    <row r="45" spans="1:3" x14ac:dyDescent="0.2">
      <c r="A45" s="1">
        <v>45885</v>
      </c>
      <c r="B45" t="s">
        <v>25</v>
      </c>
      <c r="C45">
        <v>401</v>
      </c>
    </row>
    <row r="46" spans="1:3" x14ac:dyDescent="0.2">
      <c r="A46" s="1">
        <v>45917</v>
      </c>
      <c r="B46" t="s">
        <v>26</v>
      </c>
      <c r="C46">
        <v>408</v>
      </c>
    </row>
    <row r="47" spans="1:3" x14ac:dyDescent="0.2">
      <c r="A47" s="1">
        <v>45948</v>
      </c>
      <c r="B47" t="s">
        <v>24</v>
      </c>
      <c r="C47">
        <v>415</v>
      </c>
    </row>
    <row r="48" spans="1:3" x14ac:dyDescent="0.2">
      <c r="A48" s="1">
        <v>45980</v>
      </c>
      <c r="B48" t="s">
        <v>25</v>
      </c>
      <c r="C48">
        <v>422</v>
      </c>
    </row>
    <row r="49" spans="1:3" x14ac:dyDescent="0.2">
      <c r="A49" s="1">
        <v>46011</v>
      </c>
      <c r="B49" t="s">
        <v>26</v>
      </c>
      <c r="C49">
        <v>429</v>
      </c>
    </row>
    <row r="50" spans="1:3" x14ac:dyDescent="0.2">
      <c r="A50" s="1">
        <v>45678</v>
      </c>
      <c r="B50" t="s">
        <v>24</v>
      </c>
      <c r="C50">
        <v>436</v>
      </c>
    </row>
    <row r="51" spans="1:3" x14ac:dyDescent="0.2">
      <c r="A51" s="1">
        <v>45710</v>
      </c>
      <c r="B51" t="s">
        <v>25</v>
      </c>
      <c r="C51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Monthly</vt:lpstr>
      <vt:lpstr>Summary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 Ching Thai</cp:lastModifiedBy>
  <dcterms:created xsi:type="dcterms:W3CDTF">2026-09-25T05:57:31Z</dcterms:created>
  <dcterms:modified xsi:type="dcterms:W3CDTF">2026-09-25T05:57:32Z</dcterms:modified>
</cp:coreProperties>
</file>